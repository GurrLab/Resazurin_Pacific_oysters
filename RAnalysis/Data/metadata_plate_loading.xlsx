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rs\Documents\6_Github_repositories\GurrLab\Resazurin_Pacific_oysters\RAnalysis\Data\"/>
    </mc:Choice>
  </mc:AlternateContent>
  <xr:revisionPtr revIDLastSave="0" documentId="13_ncr:1_{31436117-51FB-47D4-8BB7-90A3C1B6892D}" xr6:coauthVersionLast="47" xr6:coauthVersionMax="47" xr10:uidLastSave="{00000000-0000-0000-0000-000000000000}"/>
  <bookViews>
    <workbookView xWindow="-120" yWindow="-120" windowWidth="51840" windowHeight="21120" xr2:uid="{9D4217A4-5A90-4039-965B-5F82640B46B3}"/>
  </bookViews>
  <sheets>
    <sheet name="README" sheetId="3" r:id="rId1"/>
    <sheet name="20260318_counts_log" sheetId="1" r:id="rId2"/>
    <sheet name="20260320_counts_lo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O6" i="2"/>
  <c r="P6" i="2" s="1"/>
  <c r="O12" i="2"/>
  <c r="P12" i="2" s="1"/>
  <c r="O14" i="2"/>
  <c r="P11" i="2"/>
  <c r="P13" i="2"/>
  <c r="P14" i="2"/>
  <c r="P15" i="2"/>
  <c r="P16" i="2"/>
  <c r="M14" i="2"/>
  <c r="M3" i="2"/>
  <c r="O3" i="2" s="1"/>
  <c r="P3" i="2" s="1"/>
  <c r="M4" i="2"/>
  <c r="O4" i="2" s="1"/>
  <c r="P4" i="2" s="1"/>
  <c r="M5" i="2"/>
  <c r="O5" i="2" s="1"/>
  <c r="P5" i="2" s="1"/>
  <c r="M7" i="2"/>
  <c r="O7" i="2" s="1"/>
  <c r="P7" i="2" s="1"/>
  <c r="M8" i="2"/>
  <c r="O8" i="2" s="1"/>
  <c r="P8" i="2" s="1"/>
  <c r="M9" i="2"/>
  <c r="O9" i="2" s="1"/>
  <c r="P9" i="2" s="1"/>
  <c r="M10" i="2"/>
  <c r="M11" i="2"/>
  <c r="O11" i="2" s="1"/>
  <c r="M12" i="2"/>
  <c r="M13" i="2"/>
  <c r="O13" i="2" s="1"/>
  <c r="M15" i="2"/>
  <c r="M16" i="2"/>
  <c r="O16" i="2" s="1"/>
  <c r="M17" i="2"/>
  <c r="O17" i="2" s="1"/>
  <c r="P17" i="2" s="1"/>
  <c r="M18" i="2"/>
  <c r="O18" i="2" s="1"/>
  <c r="P18" i="2" s="1"/>
  <c r="M2" i="2"/>
  <c r="O2" i="2" s="1"/>
  <c r="P2" i="2" s="1"/>
  <c r="K14" i="2"/>
  <c r="K15" i="2"/>
  <c r="K17" i="2"/>
  <c r="J3" i="2"/>
  <c r="K3" i="2" s="1"/>
  <c r="J4" i="2"/>
  <c r="J5" i="2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J15" i="2"/>
  <c r="J16" i="2"/>
  <c r="K16" i="2" s="1"/>
  <c r="J17" i="2"/>
  <c r="J18" i="2"/>
  <c r="K18" i="2" s="1"/>
  <c r="J2" i="2"/>
  <c r="K2" i="2" s="1"/>
  <c r="H2" i="1"/>
  <c r="H11" i="1"/>
  <c r="H10" i="1"/>
  <c r="H3" i="1"/>
  <c r="H4" i="1"/>
  <c r="H5" i="1"/>
  <c r="H6" i="1"/>
  <c r="H7" i="1"/>
  <c r="H8" i="1"/>
  <c r="H9" i="1"/>
  <c r="H12" i="1"/>
  <c r="H13" i="1"/>
  <c r="H14" i="1"/>
  <c r="H15" i="1"/>
  <c r="H16" i="1"/>
  <c r="H17" i="1"/>
  <c r="H18" i="1"/>
  <c r="L4" i="2" l="1"/>
  <c r="K4" i="2"/>
  <c r="L5" i="2"/>
  <c r="K5" i="2"/>
  <c r="L6" i="2"/>
  <c r="L10" i="2"/>
  <c r="L11" i="2"/>
  <c r="O10" i="2"/>
  <c r="P10" i="2" s="1"/>
  <c r="L9" i="2"/>
  <c r="L8" i="2"/>
  <c r="L7" i="2"/>
  <c r="L2" i="2"/>
  <c r="L3" i="2"/>
  <c r="L18" i="2"/>
  <c r="L17" i="2"/>
  <c r="L16" i="2"/>
  <c r="L15" i="2"/>
  <c r="L14" i="2"/>
  <c r="L13" i="2"/>
  <c r="L12" i="2"/>
  <c r="O15" i="2"/>
</calcChain>
</file>

<file path=xl/sharedStrings.xml><?xml version="1.0" encoding="utf-8"?>
<sst xmlns="http://schemas.openxmlformats.org/spreadsheetml/2006/main" count="89" uniqueCount="36">
  <si>
    <t>mean count</t>
  </si>
  <si>
    <t>number counts</t>
  </si>
  <si>
    <t>POGS_ID</t>
  </si>
  <si>
    <t>EBV_cat</t>
  </si>
  <si>
    <t>high</t>
  </si>
  <si>
    <t>low</t>
  </si>
  <si>
    <t>NIFA_target_per_well</t>
  </si>
  <si>
    <t>POGS_volume_counted</t>
  </si>
  <si>
    <t>POGS_volume_total_vol</t>
  </si>
  <si>
    <t>Vol_needed</t>
  </si>
  <si>
    <t>X</t>
  </si>
  <si>
    <t>x</t>
  </si>
  <si>
    <t>Plate column</t>
  </si>
  <si>
    <t>done?</t>
  </si>
  <si>
    <t>na</t>
  </si>
  <si>
    <t>Tabs:</t>
  </si>
  <si>
    <t>20260318_counts_log</t>
  </si>
  <si>
    <t>20260320_counts_log</t>
  </si>
  <si>
    <t>Notes</t>
  </si>
  <si>
    <t>GurrLab_volume_counted</t>
  </si>
  <si>
    <t>count_1</t>
  </si>
  <si>
    <t>count_2</t>
  </si>
  <si>
    <t>count_3</t>
  </si>
  <si>
    <t>count_4</t>
  </si>
  <si>
    <t>mean</t>
  </si>
  <si>
    <t>stdev</t>
  </si>
  <si>
    <t>ci_95</t>
  </si>
  <si>
    <t>%_error</t>
  </si>
  <si>
    <t>Spawn</t>
  </si>
  <si>
    <t>2026, 24 hour larvae</t>
  </si>
  <si>
    <t>2026, 72 hour larvae</t>
  </si>
  <si>
    <t>PSRU (POGS) completed the volumetric counts of 800 ml stock w/all larvae. We used the mean the mean per 20 ul subsample to calculate te volume required to transfer 100 individuals to each well</t>
  </si>
  <si>
    <t xml:space="preserve">GurrLab completed the volumetric counts of the 800 ml stock w/larvae provided from POGS. We used our data fro msubsamples to calculate the volume required to transfer 100 individuals to each well </t>
  </si>
  <si>
    <t>count_5</t>
  </si>
  <si>
    <t>Vol_needed_ul</t>
  </si>
  <si>
    <t>Vol_need_mL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</si>
</sst>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D611-62FF-4E89-9389-713F1E145847}">
  <dimension ref="A5:C7"/>
  <sheetViews>
    <sheetView tabSelected="1" workbookViewId="0">
      <selection activeCell="H26" sqref="H26"/>
    </sheetView>
  </sheetViews>
  <sheetFormatPr defaultRowHeight="15" x14ac:dyDescent="0.25"/>
  <cols>
    <col min="1" max="1" width="20.85546875" customWidth="1"/>
    <col min="2" max="2" width="18.140625" customWidth="1"/>
  </cols>
  <sheetData>
    <row r="5" spans="1:3" x14ac:dyDescent="0.25">
      <c r="A5" s="13" t="s">
        <v>15</v>
      </c>
      <c r="B5" s="13" t="s">
        <v>28</v>
      </c>
      <c r="C5" s="13" t="s">
        <v>18</v>
      </c>
    </row>
    <row r="6" spans="1:3" x14ac:dyDescent="0.25">
      <c r="A6" t="s">
        <v>16</v>
      </c>
      <c r="B6" t="s">
        <v>29</v>
      </c>
      <c r="C6" t="s">
        <v>31</v>
      </c>
    </row>
    <row r="7" spans="1:3" x14ac:dyDescent="0.25">
      <c r="A7" t="s">
        <v>17</v>
      </c>
      <c r="B7" t="s">
        <v>30</v>
      </c>
      <c r="C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8391-0484-4747-A1FB-9356CE6AE78C}">
  <dimension ref="A1:J18"/>
  <sheetViews>
    <sheetView workbookViewId="0">
      <selection activeCell="H3" sqref="H3"/>
    </sheetView>
  </sheetViews>
  <sheetFormatPr defaultRowHeight="15" x14ac:dyDescent="0.25"/>
  <cols>
    <col min="1" max="1" width="8.85546875" style="2"/>
    <col min="3" max="4" width="22.85546875" customWidth="1"/>
    <col min="5" max="5" width="15.5703125" customWidth="1"/>
    <col min="6" max="6" width="16.42578125" customWidth="1"/>
    <col min="7" max="7" width="18.85546875" style="1" customWidth="1"/>
    <col min="8" max="8" width="13.5703125" style="3" customWidth="1"/>
    <col min="9" max="9" width="21.140625" customWidth="1"/>
  </cols>
  <sheetData>
    <row r="1" spans="1:10" ht="33.6" customHeight="1" x14ac:dyDescent="0.25">
      <c r="A1" s="2" t="s">
        <v>2</v>
      </c>
      <c r="B1" t="s">
        <v>3</v>
      </c>
      <c r="C1" t="s">
        <v>8</v>
      </c>
      <c r="D1" t="s">
        <v>7</v>
      </c>
      <c r="E1" t="s">
        <v>1</v>
      </c>
      <c r="F1" t="s">
        <v>0</v>
      </c>
      <c r="G1" s="1" t="s">
        <v>6</v>
      </c>
      <c r="H1" s="3" t="s">
        <v>9</v>
      </c>
      <c r="I1" t="s">
        <v>12</v>
      </c>
      <c r="J1" t="s">
        <v>13</v>
      </c>
    </row>
    <row r="2" spans="1:10" ht="32.1" customHeight="1" x14ac:dyDescent="0.25">
      <c r="A2" s="2">
        <v>1</v>
      </c>
      <c r="B2" t="s">
        <v>4</v>
      </c>
      <c r="C2">
        <v>800</v>
      </c>
      <c r="D2">
        <v>20</v>
      </c>
      <c r="E2">
        <v>3</v>
      </c>
      <c r="F2">
        <v>83</v>
      </c>
      <c r="G2" s="1">
        <v>100</v>
      </c>
      <c r="H2" s="4">
        <f>(100/F2)*D2</f>
        <v>24.096385542168676</v>
      </c>
      <c r="I2">
        <v>1</v>
      </c>
      <c r="J2" t="s">
        <v>11</v>
      </c>
    </row>
    <row r="3" spans="1:10" ht="32.1" customHeight="1" x14ac:dyDescent="0.25">
      <c r="A3" s="2">
        <v>2</v>
      </c>
      <c r="B3" t="s">
        <v>4</v>
      </c>
      <c r="C3">
        <v>800</v>
      </c>
      <c r="D3">
        <v>20</v>
      </c>
      <c r="E3">
        <v>3</v>
      </c>
      <c r="F3">
        <v>46.67</v>
      </c>
      <c r="G3" s="1">
        <v>100</v>
      </c>
      <c r="H3" s="4">
        <f t="shared" ref="H3:H11" si="0">(100/F3)*D3</f>
        <v>42.854081851296336</v>
      </c>
      <c r="I3">
        <v>2</v>
      </c>
      <c r="J3" t="s">
        <v>11</v>
      </c>
    </row>
    <row r="4" spans="1:10" ht="32.1" customHeight="1" x14ac:dyDescent="0.25">
      <c r="A4" s="2">
        <v>3</v>
      </c>
      <c r="B4" t="s">
        <v>4</v>
      </c>
      <c r="C4">
        <v>800</v>
      </c>
      <c r="D4">
        <v>20</v>
      </c>
      <c r="E4">
        <v>3</v>
      </c>
      <c r="F4">
        <v>16.670000000000002</v>
      </c>
      <c r="G4" s="1">
        <v>100</v>
      </c>
      <c r="H4" s="5">
        <f t="shared" si="0"/>
        <v>119.97600479904017</v>
      </c>
      <c r="I4" s="6" t="s">
        <v>11</v>
      </c>
      <c r="J4" t="s">
        <v>14</v>
      </c>
    </row>
    <row r="5" spans="1:10" ht="32.1" customHeight="1" x14ac:dyDescent="0.25">
      <c r="A5" s="2">
        <v>4</v>
      </c>
      <c r="B5" t="s">
        <v>4</v>
      </c>
      <c r="C5">
        <v>800</v>
      </c>
      <c r="D5">
        <v>20</v>
      </c>
      <c r="E5">
        <v>3</v>
      </c>
      <c r="F5">
        <v>3.33</v>
      </c>
      <c r="G5" s="1">
        <v>100</v>
      </c>
      <c r="H5" s="5">
        <f t="shared" si="0"/>
        <v>600.60060060060061</v>
      </c>
      <c r="I5" s="6" t="s">
        <v>10</v>
      </c>
      <c r="J5" t="s">
        <v>14</v>
      </c>
    </row>
    <row r="6" spans="1:10" ht="32.1" customHeight="1" x14ac:dyDescent="0.25">
      <c r="A6" s="2">
        <v>5</v>
      </c>
      <c r="B6" t="s">
        <v>4</v>
      </c>
      <c r="C6">
        <v>800</v>
      </c>
      <c r="D6">
        <v>20</v>
      </c>
      <c r="E6">
        <v>3</v>
      </c>
      <c r="F6">
        <v>68</v>
      </c>
      <c r="G6" s="1">
        <v>100</v>
      </c>
      <c r="H6" s="4">
        <f t="shared" si="0"/>
        <v>29.411764705882355</v>
      </c>
      <c r="I6">
        <v>3</v>
      </c>
      <c r="J6" t="s">
        <v>11</v>
      </c>
    </row>
    <row r="7" spans="1:10" ht="32.1" customHeight="1" x14ac:dyDescent="0.25">
      <c r="A7" s="2">
        <v>6</v>
      </c>
      <c r="B7" t="s">
        <v>4</v>
      </c>
      <c r="C7">
        <v>800</v>
      </c>
      <c r="D7">
        <v>20</v>
      </c>
      <c r="E7">
        <v>3</v>
      </c>
      <c r="F7">
        <v>65.33</v>
      </c>
      <c r="G7" s="1">
        <v>100</v>
      </c>
      <c r="H7" s="4">
        <f t="shared" si="0"/>
        <v>30.613806826878921</v>
      </c>
      <c r="I7">
        <v>4</v>
      </c>
      <c r="J7" t="s">
        <v>11</v>
      </c>
    </row>
    <row r="8" spans="1:10" ht="32.1" customHeight="1" x14ac:dyDescent="0.25">
      <c r="A8" s="2">
        <v>7</v>
      </c>
      <c r="B8" t="s">
        <v>4</v>
      </c>
      <c r="C8">
        <v>800</v>
      </c>
      <c r="D8">
        <v>20</v>
      </c>
      <c r="E8">
        <v>3</v>
      </c>
      <c r="F8">
        <v>93</v>
      </c>
      <c r="G8" s="1">
        <v>100</v>
      </c>
      <c r="H8" s="4">
        <f t="shared" si="0"/>
        <v>21.50537634408602</v>
      </c>
      <c r="I8">
        <v>5</v>
      </c>
      <c r="J8" t="s">
        <v>11</v>
      </c>
    </row>
    <row r="9" spans="1:10" ht="32.1" customHeight="1" x14ac:dyDescent="0.25">
      <c r="A9" s="2">
        <v>8</v>
      </c>
      <c r="B9" t="s">
        <v>4</v>
      </c>
      <c r="C9">
        <v>800</v>
      </c>
      <c r="D9">
        <v>20</v>
      </c>
      <c r="E9">
        <v>3</v>
      </c>
      <c r="F9">
        <v>121</v>
      </c>
      <c r="G9" s="1">
        <v>100</v>
      </c>
      <c r="H9" s="4">
        <f t="shared" si="0"/>
        <v>16.528925619834713</v>
      </c>
      <c r="I9">
        <v>6</v>
      </c>
      <c r="J9" t="s">
        <v>11</v>
      </c>
    </row>
    <row r="10" spans="1:10" s="8" customFormat="1" ht="32.1" customHeight="1" x14ac:dyDescent="0.25">
      <c r="A10" s="7">
        <v>50</v>
      </c>
      <c r="B10" s="8" t="s">
        <v>5</v>
      </c>
      <c r="C10" s="8">
        <v>800</v>
      </c>
      <c r="D10" s="8">
        <v>20</v>
      </c>
      <c r="E10" s="8">
        <v>3</v>
      </c>
      <c r="F10" s="8">
        <v>73</v>
      </c>
      <c r="G10" s="9">
        <v>100</v>
      </c>
      <c r="H10" s="10">
        <f t="shared" si="0"/>
        <v>27.397260273972602</v>
      </c>
      <c r="I10" s="8">
        <v>7</v>
      </c>
      <c r="J10" s="8" t="s">
        <v>11</v>
      </c>
    </row>
    <row r="11" spans="1:10" ht="32.1" customHeight="1" x14ac:dyDescent="0.25">
      <c r="A11" s="2">
        <v>51</v>
      </c>
      <c r="B11" t="s">
        <v>5</v>
      </c>
      <c r="C11">
        <v>800</v>
      </c>
      <c r="D11">
        <v>20</v>
      </c>
      <c r="E11">
        <v>3</v>
      </c>
      <c r="F11">
        <v>29.33</v>
      </c>
      <c r="G11" s="1">
        <v>100</v>
      </c>
      <c r="H11" s="10">
        <f t="shared" si="0"/>
        <v>68.189566996249582</v>
      </c>
      <c r="I11">
        <v>8</v>
      </c>
      <c r="J11" t="s">
        <v>11</v>
      </c>
    </row>
    <row r="12" spans="1:10" ht="32.1" customHeight="1" x14ac:dyDescent="0.25">
      <c r="A12" s="2">
        <v>52</v>
      </c>
      <c r="B12" t="s">
        <v>5</v>
      </c>
      <c r="C12">
        <v>800</v>
      </c>
      <c r="D12">
        <v>20</v>
      </c>
      <c r="E12">
        <v>3</v>
      </c>
      <c r="F12">
        <v>14.67</v>
      </c>
      <c r="G12" s="1">
        <v>100</v>
      </c>
      <c r="H12" s="5">
        <f t="shared" ref="H12:H18" si="1">(100/F12)*D12</f>
        <v>136.33265167007499</v>
      </c>
      <c r="I12" s="6" t="s">
        <v>11</v>
      </c>
      <c r="J12" t="s">
        <v>14</v>
      </c>
    </row>
    <row r="13" spans="1:10" ht="32.1" customHeight="1" x14ac:dyDescent="0.25">
      <c r="A13" s="2">
        <v>53</v>
      </c>
      <c r="B13" t="s">
        <v>5</v>
      </c>
      <c r="C13">
        <v>800</v>
      </c>
      <c r="D13">
        <v>20</v>
      </c>
      <c r="E13">
        <v>3</v>
      </c>
      <c r="F13">
        <v>56</v>
      </c>
      <c r="G13" s="1">
        <v>100</v>
      </c>
      <c r="H13" s="4">
        <f t="shared" si="1"/>
        <v>35.714285714285715</v>
      </c>
      <c r="I13">
        <v>9</v>
      </c>
      <c r="J13" t="s">
        <v>11</v>
      </c>
    </row>
    <row r="14" spans="1:10" ht="32.1" customHeight="1" x14ac:dyDescent="0.25">
      <c r="A14" s="2">
        <v>54</v>
      </c>
      <c r="B14" t="s">
        <v>5</v>
      </c>
      <c r="C14">
        <v>800</v>
      </c>
      <c r="D14">
        <v>20</v>
      </c>
      <c r="E14">
        <v>3</v>
      </c>
      <c r="F14">
        <v>64.33</v>
      </c>
      <c r="G14" s="1">
        <v>100</v>
      </c>
      <c r="H14" s="4">
        <f t="shared" si="1"/>
        <v>31.089693766516401</v>
      </c>
      <c r="I14">
        <v>10</v>
      </c>
      <c r="J14" t="s">
        <v>11</v>
      </c>
    </row>
    <row r="15" spans="1:10" ht="32.1" customHeight="1" x14ac:dyDescent="0.25">
      <c r="A15" s="2">
        <v>55</v>
      </c>
      <c r="B15" t="s">
        <v>5</v>
      </c>
      <c r="C15">
        <v>800</v>
      </c>
      <c r="D15">
        <v>20</v>
      </c>
      <c r="E15">
        <v>3</v>
      </c>
      <c r="F15">
        <v>22.67</v>
      </c>
      <c r="G15" s="1">
        <v>100</v>
      </c>
      <c r="H15" s="4">
        <f t="shared" si="1"/>
        <v>88.222320247022481</v>
      </c>
      <c r="I15">
        <v>11</v>
      </c>
    </row>
    <row r="16" spans="1:10" ht="32.1" customHeight="1" x14ac:dyDescent="0.25">
      <c r="A16" s="2">
        <v>56</v>
      </c>
      <c r="B16" t="s">
        <v>5</v>
      </c>
      <c r="C16">
        <v>800</v>
      </c>
      <c r="D16">
        <v>20</v>
      </c>
      <c r="E16">
        <v>3</v>
      </c>
      <c r="F16">
        <v>32.5</v>
      </c>
      <c r="G16" s="1">
        <v>100</v>
      </c>
      <c r="H16" s="4">
        <f t="shared" si="1"/>
        <v>61.53846153846154</v>
      </c>
      <c r="I16">
        <v>12</v>
      </c>
    </row>
    <row r="17" spans="1:9" ht="32.1" customHeight="1" x14ac:dyDescent="0.25">
      <c r="A17" s="2">
        <v>57</v>
      </c>
      <c r="B17" t="s">
        <v>5</v>
      </c>
      <c r="C17">
        <v>800</v>
      </c>
      <c r="D17">
        <v>20</v>
      </c>
      <c r="E17">
        <v>3</v>
      </c>
      <c r="F17">
        <v>60.33</v>
      </c>
      <c r="G17" s="1">
        <v>100</v>
      </c>
      <c r="H17" s="5">
        <f t="shared" si="1"/>
        <v>33.151002817835241</v>
      </c>
      <c r="I17" s="6" t="s">
        <v>11</v>
      </c>
    </row>
    <row r="18" spans="1:9" ht="32.1" customHeight="1" x14ac:dyDescent="0.25">
      <c r="A18" s="2">
        <v>58</v>
      </c>
      <c r="B18" t="s">
        <v>5</v>
      </c>
      <c r="C18">
        <v>800</v>
      </c>
      <c r="D18">
        <v>20</v>
      </c>
      <c r="E18">
        <v>3</v>
      </c>
      <c r="F18">
        <v>57</v>
      </c>
      <c r="G18" s="1">
        <v>100</v>
      </c>
      <c r="H18" s="5">
        <f t="shared" si="1"/>
        <v>35.087719298245609</v>
      </c>
      <c r="I18" s="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0CF5-0A61-4E8A-9E9B-64CF3695E185}">
  <dimension ref="A1:R19"/>
  <sheetViews>
    <sheetView workbookViewId="0">
      <selection activeCell="D42" sqref="D42"/>
    </sheetView>
  </sheetViews>
  <sheetFormatPr defaultRowHeight="15" x14ac:dyDescent="0.25"/>
  <cols>
    <col min="1" max="1" width="7.85546875" style="2" bestFit="1" customWidth="1"/>
    <col min="2" max="2" width="7" style="2" bestFit="1" customWidth="1"/>
    <col min="3" max="3" width="19.42578125" style="2" bestFit="1" customWidth="1"/>
    <col min="4" max="4" width="20.85546875" style="2" bestFit="1" customWidth="1"/>
    <col min="5" max="8" width="7" style="2" bestFit="1" customWidth="1"/>
    <col min="9" max="9" width="7" style="2" customWidth="1"/>
    <col min="10" max="13" width="6.5703125" style="2" bestFit="1" customWidth="1"/>
    <col min="14" max="14" width="17.140625" style="11" bestFit="1" customWidth="1"/>
    <col min="15" max="15" width="9.85546875" style="3" bestFit="1" customWidth="1"/>
    <col min="16" max="16" width="16.42578125" style="3" customWidth="1"/>
    <col min="17" max="17" width="11" style="2" bestFit="1" customWidth="1"/>
    <col min="18" max="18" width="5.5703125" style="2" bestFit="1" customWidth="1"/>
  </cols>
  <sheetData>
    <row r="1" spans="1:18" x14ac:dyDescent="0.25">
      <c r="A1" s="2" t="s">
        <v>2</v>
      </c>
      <c r="B1" s="2" t="s">
        <v>3</v>
      </c>
      <c r="C1" s="2" t="s">
        <v>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33</v>
      </c>
      <c r="J1" s="2" t="s">
        <v>25</v>
      </c>
      <c r="K1" s="2" t="s">
        <v>26</v>
      </c>
      <c r="L1" s="2" t="s">
        <v>27</v>
      </c>
      <c r="M1" s="2" t="s">
        <v>24</v>
      </c>
      <c r="N1" s="11" t="s">
        <v>6</v>
      </c>
      <c r="O1" s="3" t="s">
        <v>34</v>
      </c>
      <c r="P1" s="3" t="s">
        <v>35</v>
      </c>
      <c r="Q1" s="2" t="s">
        <v>12</v>
      </c>
      <c r="R1" s="2" t="s">
        <v>13</v>
      </c>
    </row>
    <row r="2" spans="1:18" ht="24.95" customHeight="1" x14ac:dyDescent="0.25">
      <c r="A2" s="2">
        <v>1</v>
      </c>
      <c r="B2" s="2" t="s">
        <v>4</v>
      </c>
      <c r="C2" s="2">
        <v>800</v>
      </c>
      <c r="D2" s="2">
        <v>100</v>
      </c>
      <c r="E2" s="2">
        <v>18</v>
      </c>
      <c r="F2" s="2">
        <v>10</v>
      </c>
      <c r="G2" s="2">
        <v>12</v>
      </c>
      <c r="J2" s="2">
        <f>_xlfn.STDEV.S(E2:I2)</f>
        <v>4.1633319989322635</v>
      </c>
      <c r="K2" s="2">
        <f>_xlfn.CONFIDENCE.T(0.05,J2,COUNT(E2:I2))</f>
        <v>10.342290025084525</v>
      </c>
      <c r="L2" s="2">
        <f>J2/M2</f>
        <v>0.31224989991991975</v>
      </c>
      <c r="M2" s="2">
        <f>AVERAGE(E2:I2)</f>
        <v>13.333333333333334</v>
      </c>
      <c r="N2" s="11">
        <v>100</v>
      </c>
      <c r="O2" s="4">
        <f t="shared" ref="O2:O13" si="0">(100/M2)*D2</f>
        <v>750</v>
      </c>
      <c r="P2" s="4">
        <f>O2/1000</f>
        <v>0.75</v>
      </c>
    </row>
    <row r="3" spans="1:18" ht="24.95" customHeight="1" x14ac:dyDescent="0.25">
      <c r="A3" s="2">
        <v>2</v>
      </c>
      <c r="B3" s="2" t="s">
        <v>4</v>
      </c>
      <c r="C3" s="2">
        <v>800</v>
      </c>
      <c r="D3" s="2">
        <v>100</v>
      </c>
      <c r="E3" s="2">
        <v>4</v>
      </c>
      <c r="F3" s="2">
        <v>6</v>
      </c>
      <c r="G3" s="2">
        <v>5</v>
      </c>
      <c r="J3" s="2">
        <f t="shared" ref="J3:J18" si="1">_xlfn.STDEV.S(E3:I3)</f>
        <v>1</v>
      </c>
      <c r="K3" s="2">
        <f t="shared" ref="K3:K18" si="2">_xlfn.CONFIDENCE.T(0.05,J3,COUNT(E3:I3))</f>
        <v>2.4841377117503312</v>
      </c>
      <c r="L3" s="2">
        <f t="shared" ref="L3:L18" si="3">J3/M3</f>
        <v>0.2</v>
      </c>
      <c r="M3" s="2">
        <f t="shared" ref="M3:M18" si="4">AVERAGE(E3:I3)</f>
        <v>5</v>
      </c>
      <c r="N3" s="11">
        <v>100</v>
      </c>
      <c r="O3" s="4">
        <f t="shared" si="0"/>
        <v>2000</v>
      </c>
      <c r="P3" s="4">
        <f t="shared" ref="P3:P18" si="5">O3/1000</f>
        <v>2</v>
      </c>
    </row>
    <row r="4" spans="1:18" ht="24.95" customHeight="1" x14ac:dyDescent="0.25">
      <c r="A4" s="2">
        <v>3</v>
      </c>
      <c r="B4" s="2" t="s">
        <v>4</v>
      </c>
      <c r="C4" s="2">
        <v>800</v>
      </c>
      <c r="D4" s="2">
        <v>100</v>
      </c>
      <c r="E4" s="2">
        <v>12</v>
      </c>
      <c r="F4" s="2">
        <v>10</v>
      </c>
      <c r="G4" s="2">
        <v>15</v>
      </c>
      <c r="J4" s="2">
        <f t="shared" si="1"/>
        <v>2.5166114784235849</v>
      </c>
      <c r="K4" s="2">
        <f t="shared" si="2"/>
        <v>6.2516094793757819</v>
      </c>
      <c r="L4" s="2">
        <f t="shared" si="3"/>
        <v>0.204049579331642</v>
      </c>
      <c r="M4" s="2">
        <f t="shared" si="4"/>
        <v>12.333333333333334</v>
      </c>
      <c r="N4" s="11">
        <v>100</v>
      </c>
      <c r="O4" s="4">
        <f t="shared" si="0"/>
        <v>810.81081081081072</v>
      </c>
      <c r="P4" s="4">
        <f t="shared" si="5"/>
        <v>0.81081081081081074</v>
      </c>
    </row>
    <row r="5" spans="1:18" ht="24.95" customHeight="1" x14ac:dyDescent="0.25">
      <c r="A5" s="2">
        <v>4</v>
      </c>
      <c r="B5" s="2" t="s">
        <v>4</v>
      </c>
      <c r="C5" s="2">
        <v>800</v>
      </c>
      <c r="D5" s="2">
        <v>100</v>
      </c>
      <c r="E5" s="2">
        <v>5</v>
      </c>
      <c r="F5" s="2">
        <v>7</v>
      </c>
      <c r="G5" s="2">
        <v>5</v>
      </c>
      <c r="J5" s="2">
        <f t="shared" si="1"/>
        <v>1.1547005383792526</v>
      </c>
      <c r="K5" s="2">
        <f t="shared" si="2"/>
        <v>2.8684351531663119</v>
      </c>
      <c r="L5" s="2">
        <f t="shared" si="3"/>
        <v>0.2037706832433975</v>
      </c>
      <c r="M5" s="2">
        <f t="shared" si="4"/>
        <v>5.666666666666667</v>
      </c>
      <c r="N5" s="11">
        <v>100</v>
      </c>
      <c r="O5" s="4">
        <f t="shared" si="0"/>
        <v>1764.705882352941</v>
      </c>
      <c r="P5" s="4">
        <f t="shared" si="5"/>
        <v>1.7647058823529409</v>
      </c>
    </row>
    <row r="6" spans="1:18" ht="24.95" customHeight="1" x14ac:dyDescent="0.25">
      <c r="A6" s="2">
        <v>5</v>
      </c>
      <c r="B6" s="2" t="s">
        <v>4</v>
      </c>
      <c r="C6" s="2">
        <v>800</v>
      </c>
      <c r="D6" s="2">
        <v>100</v>
      </c>
      <c r="E6" s="2">
        <v>15</v>
      </c>
      <c r="F6" s="2">
        <v>9</v>
      </c>
      <c r="G6" s="2">
        <v>11</v>
      </c>
      <c r="H6" s="2">
        <v>11</v>
      </c>
      <c r="I6" s="2">
        <v>11</v>
      </c>
      <c r="J6" s="2">
        <f t="shared" si="1"/>
        <v>2.190890230020667</v>
      </c>
      <c r="K6" s="2">
        <f t="shared" si="2"/>
        <v>2.7203495226330259</v>
      </c>
      <c r="L6" s="2">
        <f t="shared" si="3"/>
        <v>0.19218335351058483</v>
      </c>
      <c r="M6" s="2">
        <f>AVERAGE(E6:I6)</f>
        <v>11.4</v>
      </c>
      <c r="N6" s="11">
        <v>100</v>
      </c>
      <c r="O6" s="4">
        <f t="shared" si="0"/>
        <v>877.19298245614027</v>
      </c>
      <c r="P6" s="4">
        <f t="shared" si="5"/>
        <v>0.8771929824561403</v>
      </c>
    </row>
    <row r="7" spans="1:18" ht="24.95" customHeight="1" x14ac:dyDescent="0.25">
      <c r="A7" s="2">
        <v>6</v>
      </c>
      <c r="B7" s="2" t="s">
        <v>4</v>
      </c>
      <c r="C7" s="2">
        <v>800</v>
      </c>
      <c r="D7" s="2">
        <v>100</v>
      </c>
      <c r="E7" s="2">
        <v>17</v>
      </c>
      <c r="F7" s="2">
        <v>21</v>
      </c>
      <c r="G7" s="2">
        <v>17</v>
      </c>
      <c r="J7" s="2">
        <f t="shared" si="1"/>
        <v>2.3094010767584989</v>
      </c>
      <c r="K7" s="2">
        <f t="shared" si="2"/>
        <v>5.7368703063326087</v>
      </c>
      <c r="L7" s="2">
        <f t="shared" si="3"/>
        <v>0.12596733145955449</v>
      </c>
      <c r="M7" s="2">
        <f t="shared" si="4"/>
        <v>18.333333333333332</v>
      </c>
      <c r="N7" s="11">
        <v>100</v>
      </c>
      <c r="O7" s="4">
        <f t="shared" si="0"/>
        <v>545.4545454545455</v>
      </c>
      <c r="P7" s="4">
        <f t="shared" si="5"/>
        <v>0.54545454545454553</v>
      </c>
    </row>
    <row r="8" spans="1:18" ht="24.95" customHeight="1" x14ac:dyDescent="0.25">
      <c r="A8" s="2">
        <v>7</v>
      </c>
      <c r="B8" s="2" t="s">
        <v>4</v>
      </c>
      <c r="C8" s="2">
        <v>800</v>
      </c>
      <c r="D8" s="2">
        <v>100</v>
      </c>
      <c r="E8" s="2">
        <v>8</v>
      </c>
      <c r="F8" s="2">
        <v>8</v>
      </c>
      <c r="G8" s="2">
        <v>6</v>
      </c>
      <c r="J8" s="2">
        <f t="shared" si="1"/>
        <v>1.1547005383792495</v>
      </c>
      <c r="K8" s="2">
        <f t="shared" si="2"/>
        <v>2.8684351531663044</v>
      </c>
      <c r="L8" s="2">
        <f t="shared" si="3"/>
        <v>0.15745916432444312</v>
      </c>
      <c r="M8" s="2">
        <f t="shared" si="4"/>
        <v>7.333333333333333</v>
      </c>
      <c r="N8" s="11">
        <v>100</v>
      </c>
      <c r="O8" s="4">
        <f t="shared" si="0"/>
        <v>1363.6363636363637</v>
      </c>
      <c r="P8" s="4">
        <f t="shared" si="5"/>
        <v>1.3636363636363638</v>
      </c>
    </row>
    <row r="9" spans="1:18" ht="24.95" customHeight="1" x14ac:dyDescent="0.25">
      <c r="A9" s="2">
        <v>8</v>
      </c>
      <c r="B9" s="2" t="s">
        <v>4</v>
      </c>
      <c r="C9" s="2">
        <v>800</v>
      </c>
      <c r="D9" s="2">
        <v>100</v>
      </c>
      <c r="E9" s="2">
        <v>9</v>
      </c>
      <c r="F9" s="2">
        <v>11</v>
      </c>
      <c r="G9" s="2">
        <v>16</v>
      </c>
      <c r="J9" s="2">
        <f t="shared" si="1"/>
        <v>3.6055512754639891</v>
      </c>
      <c r="K9" s="2">
        <f t="shared" si="2"/>
        <v>8.9566858950296009</v>
      </c>
      <c r="L9" s="2">
        <f t="shared" si="3"/>
        <v>0.30046260628866578</v>
      </c>
      <c r="M9" s="2">
        <f t="shared" si="4"/>
        <v>12</v>
      </c>
      <c r="N9" s="11">
        <v>100</v>
      </c>
      <c r="O9" s="4">
        <f t="shared" si="0"/>
        <v>833.33333333333337</v>
      </c>
      <c r="P9" s="4">
        <f t="shared" si="5"/>
        <v>0.83333333333333337</v>
      </c>
    </row>
    <row r="10" spans="1:18" ht="24.95" customHeight="1" x14ac:dyDescent="0.25">
      <c r="A10" s="7">
        <v>50</v>
      </c>
      <c r="B10" s="7" t="s">
        <v>5</v>
      </c>
      <c r="C10" s="7">
        <v>800</v>
      </c>
      <c r="D10" s="2">
        <v>100</v>
      </c>
      <c r="E10" s="2">
        <v>14</v>
      </c>
      <c r="F10" s="2">
        <v>13</v>
      </c>
      <c r="G10" s="2">
        <v>13</v>
      </c>
      <c r="J10" s="2">
        <f t="shared" si="1"/>
        <v>0.57735026918962573</v>
      </c>
      <c r="K10" s="2">
        <f t="shared" si="2"/>
        <v>1.4342175765831544</v>
      </c>
      <c r="L10" s="2">
        <f t="shared" si="3"/>
        <v>4.3301270189221926E-2</v>
      </c>
      <c r="M10" s="2">
        <f t="shared" si="4"/>
        <v>13.333333333333334</v>
      </c>
      <c r="N10" s="12">
        <v>100</v>
      </c>
      <c r="O10" s="4">
        <f t="shared" si="0"/>
        <v>750</v>
      </c>
      <c r="P10" s="4">
        <f t="shared" si="5"/>
        <v>0.75</v>
      </c>
    </row>
    <row r="11" spans="1:18" ht="24.95" customHeight="1" x14ac:dyDescent="0.25">
      <c r="A11" s="2">
        <v>51</v>
      </c>
      <c r="B11" s="2" t="s">
        <v>5</v>
      </c>
      <c r="C11" s="2">
        <v>800</v>
      </c>
      <c r="D11" s="2">
        <v>100</v>
      </c>
      <c r="E11" s="2">
        <v>12</v>
      </c>
      <c r="F11" s="2">
        <v>11</v>
      </c>
      <c r="G11" s="2">
        <v>12</v>
      </c>
      <c r="J11" s="2">
        <f t="shared" si="1"/>
        <v>0.57735026918962573</v>
      </c>
      <c r="K11" s="2">
        <f t="shared" si="2"/>
        <v>1.4342175765831544</v>
      </c>
      <c r="L11" s="2">
        <f t="shared" si="3"/>
        <v>4.9487165930539354E-2</v>
      </c>
      <c r="M11" s="2">
        <f t="shared" si="4"/>
        <v>11.666666666666666</v>
      </c>
      <c r="N11" s="11">
        <v>100</v>
      </c>
      <c r="O11" s="4">
        <f t="shared" si="0"/>
        <v>857.14285714285711</v>
      </c>
      <c r="P11" s="4">
        <f t="shared" si="5"/>
        <v>0.8571428571428571</v>
      </c>
    </row>
    <row r="12" spans="1:18" ht="24.95" customHeight="1" x14ac:dyDescent="0.25">
      <c r="A12" s="2">
        <v>52</v>
      </c>
      <c r="B12" s="2" t="s">
        <v>5</v>
      </c>
      <c r="C12" s="2">
        <v>800</v>
      </c>
      <c r="D12" s="2">
        <v>100</v>
      </c>
      <c r="E12" s="2">
        <v>12</v>
      </c>
      <c r="F12" s="2">
        <v>11</v>
      </c>
      <c r="G12" s="2">
        <v>20</v>
      </c>
      <c r="J12" s="2">
        <f t="shared" si="1"/>
        <v>4.9328828623162453</v>
      </c>
      <c r="K12" s="2">
        <f t="shared" si="2"/>
        <v>12.2539603459267</v>
      </c>
      <c r="L12" s="2">
        <f t="shared" si="3"/>
        <v>0.34415461830113336</v>
      </c>
      <c r="M12" s="2">
        <f t="shared" si="4"/>
        <v>14.333333333333334</v>
      </c>
      <c r="N12" s="11">
        <v>100</v>
      </c>
      <c r="O12" s="4">
        <f t="shared" si="0"/>
        <v>697.67441860465112</v>
      </c>
      <c r="P12" s="4">
        <f t="shared" si="5"/>
        <v>0.69767441860465107</v>
      </c>
    </row>
    <row r="13" spans="1:18" ht="24.95" customHeight="1" x14ac:dyDescent="0.25">
      <c r="A13" s="2">
        <v>53</v>
      </c>
      <c r="B13" s="2" t="s">
        <v>5</v>
      </c>
      <c r="C13" s="2">
        <v>800</v>
      </c>
      <c r="D13" s="2">
        <v>100</v>
      </c>
      <c r="E13" s="2">
        <v>16</v>
      </c>
      <c r="F13" s="2">
        <v>18</v>
      </c>
      <c r="G13" s="2">
        <v>12</v>
      </c>
      <c r="J13" s="2">
        <f t="shared" si="1"/>
        <v>3.0550504633038904</v>
      </c>
      <c r="K13" s="2">
        <f t="shared" si="2"/>
        <v>7.5891660671935153</v>
      </c>
      <c r="L13" s="2">
        <f t="shared" si="3"/>
        <v>0.19924242151981894</v>
      </c>
      <c r="M13" s="2">
        <f t="shared" si="4"/>
        <v>15.333333333333334</v>
      </c>
      <c r="N13" s="11">
        <v>100</v>
      </c>
      <c r="O13" s="4">
        <f t="shared" si="0"/>
        <v>652.17391304347825</v>
      </c>
      <c r="P13" s="4">
        <f t="shared" si="5"/>
        <v>0.65217391304347827</v>
      </c>
    </row>
    <row r="14" spans="1:18" ht="24.95" customHeight="1" x14ac:dyDescent="0.25">
      <c r="A14" s="2">
        <v>54</v>
      </c>
      <c r="B14" s="2" t="s">
        <v>5</v>
      </c>
      <c r="C14" s="2">
        <v>800</v>
      </c>
      <c r="D14" s="2">
        <v>50</v>
      </c>
      <c r="E14" s="2">
        <v>16</v>
      </c>
      <c r="F14" s="2">
        <v>12</v>
      </c>
      <c r="G14" s="2">
        <v>7</v>
      </c>
      <c r="H14" s="2">
        <v>9</v>
      </c>
      <c r="I14" s="2">
        <v>10</v>
      </c>
      <c r="J14" s="2">
        <f t="shared" si="1"/>
        <v>3.4205262752974122</v>
      </c>
      <c r="K14" s="2">
        <f t="shared" si="2"/>
        <v>4.2471443309468135</v>
      </c>
      <c r="L14" s="2">
        <f t="shared" si="3"/>
        <v>0.3167153958608715</v>
      </c>
      <c r="M14" s="2">
        <f>AVERAGE(E14:I14)</f>
        <v>10.8</v>
      </c>
      <c r="N14" s="11">
        <v>100</v>
      </c>
      <c r="O14" s="2">
        <f>(N14/M14)*D14</f>
        <v>462.96296296296299</v>
      </c>
      <c r="P14" s="4">
        <f t="shared" si="5"/>
        <v>0.46296296296296297</v>
      </c>
    </row>
    <row r="15" spans="1:18" ht="24.95" customHeight="1" x14ac:dyDescent="0.25">
      <c r="A15" s="2">
        <v>55</v>
      </c>
      <c r="B15" s="2" t="s">
        <v>5</v>
      </c>
      <c r="C15" s="2">
        <v>800</v>
      </c>
      <c r="D15" s="2">
        <v>50</v>
      </c>
      <c r="E15" s="2">
        <v>11</v>
      </c>
      <c r="F15" s="2">
        <v>5</v>
      </c>
      <c r="G15" s="2">
        <v>6</v>
      </c>
      <c r="J15" s="2">
        <f t="shared" si="1"/>
        <v>3.2145502536643176</v>
      </c>
      <c r="K15" s="2">
        <f t="shared" si="2"/>
        <v>7.9853855114441235</v>
      </c>
      <c r="L15" s="2">
        <f t="shared" si="3"/>
        <v>0.43834776186331603</v>
      </c>
      <c r="M15" s="2">
        <f t="shared" si="4"/>
        <v>7.333333333333333</v>
      </c>
      <c r="N15" s="11">
        <v>100</v>
      </c>
      <c r="O15" s="4">
        <f>(100/M15)*D15</f>
        <v>681.81818181818187</v>
      </c>
      <c r="P15" s="4">
        <f t="shared" si="5"/>
        <v>0.68181818181818188</v>
      </c>
    </row>
    <row r="16" spans="1:18" ht="24.95" customHeight="1" x14ac:dyDescent="0.25">
      <c r="A16" s="2">
        <v>56</v>
      </c>
      <c r="B16" s="2" t="s">
        <v>5</v>
      </c>
      <c r="C16" s="2">
        <v>800</v>
      </c>
      <c r="D16" s="2">
        <v>50</v>
      </c>
      <c r="E16" s="2">
        <v>11</v>
      </c>
      <c r="F16" s="2">
        <v>9</v>
      </c>
      <c r="G16" s="2">
        <v>8</v>
      </c>
      <c r="J16" s="2">
        <f t="shared" si="1"/>
        <v>1.5275252316519499</v>
      </c>
      <c r="K16" s="2">
        <f t="shared" si="2"/>
        <v>3.7945830335967692</v>
      </c>
      <c r="L16" s="2">
        <f t="shared" si="3"/>
        <v>0.1636634176769946</v>
      </c>
      <c r="M16" s="2">
        <f t="shared" si="4"/>
        <v>9.3333333333333339</v>
      </c>
      <c r="N16" s="11">
        <v>100</v>
      </c>
      <c r="O16" s="4">
        <f>(100/M16)*D16</f>
        <v>535.71428571428567</v>
      </c>
      <c r="P16" s="4">
        <f t="shared" si="5"/>
        <v>0.5357142857142857</v>
      </c>
    </row>
    <row r="17" spans="1:16" ht="24.95" customHeight="1" x14ac:dyDescent="0.25">
      <c r="A17" s="2">
        <v>57</v>
      </c>
      <c r="B17" s="2" t="s">
        <v>5</v>
      </c>
      <c r="C17" s="2">
        <v>800</v>
      </c>
      <c r="D17" s="2">
        <v>100</v>
      </c>
      <c r="E17" s="2">
        <v>11</v>
      </c>
      <c r="F17" s="2">
        <v>14</v>
      </c>
      <c r="G17" s="2">
        <v>19</v>
      </c>
      <c r="J17" s="2">
        <f t="shared" si="1"/>
        <v>4.0414518843273779</v>
      </c>
      <c r="K17" s="2">
        <f t="shared" si="2"/>
        <v>10.039523036082077</v>
      </c>
      <c r="L17" s="2">
        <f t="shared" si="3"/>
        <v>0.27555353756777579</v>
      </c>
      <c r="M17" s="2">
        <f t="shared" si="4"/>
        <v>14.666666666666666</v>
      </c>
      <c r="N17" s="11">
        <v>100</v>
      </c>
      <c r="O17" s="4">
        <f>(100/M17)*D17</f>
        <v>681.81818181818187</v>
      </c>
      <c r="P17" s="4">
        <f t="shared" si="5"/>
        <v>0.68181818181818188</v>
      </c>
    </row>
    <row r="18" spans="1:16" ht="24.95" customHeight="1" x14ac:dyDescent="0.25">
      <c r="A18" s="2">
        <v>58</v>
      </c>
      <c r="B18" s="2" t="s">
        <v>5</v>
      </c>
      <c r="C18" s="2">
        <v>800</v>
      </c>
      <c r="D18" s="2">
        <v>100</v>
      </c>
      <c r="E18" s="2">
        <v>2</v>
      </c>
      <c r="F18" s="2">
        <v>9</v>
      </c>
      <c r="G18" s="2">
        <v>9</v>
      </c>
      <c r="J18" s="2">
        <f t="shared" si="1"/>
        <v>4.0414518843273797</v>
      </c>
      <c r="K18" s="2">
        <f t="shared" si="2"/>
        <v>10.03952303608208</v>
      </c>
      <c r="L18" s="2">
        <f t="shared" si="3"/>
        <v>0.60621778264910697</v>
      </c>
      <c r="M18" s="2">
        <f t="shared" si="4"/>
        <v>6.666666666666667</v>
      </c>
      <c r="N18" s="11">
        <v>100</v>
      </c>
      <c r="O18" s="4">
        <f>(100/M18)*D18</f>
        <v>1500</v>
      </c>
      <c r="P18" s="4">
        <f t="shared" si="5"/>
        <v>1.5</v>
      </c>
    </row>
    <row r="19" spans="1:16" x14ac:dyDescent="0.25">
      <c r="P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20260318_counts_log</vt:lpstr>
      <vt:lpstr>20260320_counts_log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Gurr, Samuel J</dc:creator>
  <cp:lastModifiedBy>Gurr, Samuel J</cp:lastModifiedBy>
  <dcterms:created xsi:type="dcterms:W3CDTF">2026-03-18T16:41:04Z</dcterms:created>
  <dcterms:modified xsi:type="dcterms:W3CDTF">2026-03-20T21:12:29Z</dcterms:modified>
</cp:coreProperties>
</file>